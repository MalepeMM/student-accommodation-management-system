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
    </mc:Choice>
  </mc:AlternateContent>
  <xr:revisionPtr revIDLastSave="0" documentId="8_{4EC8D099-53A9-4D48-87A6-12C230ED3DB7}" xr6:coauthVersionLast="47" xr6:coauthVersionMax="47" xr10:uidLastSave="{00000000-0000-0000-0000-000000000000}"/>
  <bookViews>
    <workbookView xWindow="-120" yWindow="-120" windowWidth="20730" windowHeight="11040" firstSheet="1" activeTab="1"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1" i="3" l="1"/>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B11" i="2"/>
  <c r="G8" i="2"/>
  <c r="G7" i="2"/>
  <c r="G6" i="2"/>
  <c r="G5" i="2"/>
  <c r="G4" i="2"/>
  <c r="G9" i="2" l="1"/>
</calcChain>
</file>

<file path=xl/sharedStrings.xml><?xml version="1.0" encoding="utf-8"?>
<sst xmlns="http://schemas.openxmlformats.org/spreadsheetml/2006/main" count="390" uniqueCount="252">
  <si>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</si>
  <si>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</si>
  <si>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</si>
  <si>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</si>
  <si>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</si>
  <si>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</si>
  <si>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</si>
  <si>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</si>
  <si>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</si>
  <si>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</si>
  <si>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</si>
  <si>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</si>
  <si>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</si>
  <si>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</si>
  <si>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</si>
  <si>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</si>
  <si>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</si>
  <si>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</si>
  <si>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</si>
  <si>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</si>
  <si>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</si>
  <si>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</si>
  <si>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</si>
  <si>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</si>
  <si>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</si>
  <si>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</si>
  <si>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</si>
  <si>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</si>
  <si>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</si>
  <si>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</si>
  <si>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</si>
  <si>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</si>
  <si>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</si>
  <si>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</si>
  <si>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</si>
  <si>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</si>
  <si>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</si>
  <si>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</si>
  <si>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</si>
  <si>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</si>
  <si>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</si>
  <si>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</si>
  <si>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</si>
  <si>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</si>
  <si>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</si>
  <si>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</si>
  <si>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</si>
  <si>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</si>
  <si>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</si>
  <si>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</si>
  <si>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</si>
  <si>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</si>
  <si>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</si>
  <si>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</si>
  <si>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</si>
  <si>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</si>
  <si>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</si>
  <si>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</si>
  <si>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</si>
  <si>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</si>
  <si>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</si>
  <si>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</si>
  <si>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</si>
  <si>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</si>
  <si>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</si>
  <si>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</si>
  <si>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</si>
  <si>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</si>
  <si>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</si>
  <si>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</si>
  <si>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</si>
  <si>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</si>
  <si>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Start Date</t>
  </si>
  <si>
    <t>Due Date</t>
  </si>
  <si>
    <t>Status</t>
  </si>
  <si>
    <t>% Complete</t>
  </si>
  <si>
    <t>Evidence / Link</t>
  </si>
  <si>
    <t>Verified by Group</t>
  </si>
  <si>
    <t>Lecturer Comment</t>
  </si>
  <si>
    <t>Progress Flag</t>
  </si>
  <si>
    <t>U1-01</t>
  </si>
  <si>
    <t>Activity 1.1</t>
  </si>
  <si>
    <t>Identify and confirm the external stakeholder</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</si>
  <si>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</si>
  <si>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</si>
  <si>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</si>
  <si>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</si>
  <si>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</si>
  <si>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</si>
  <si>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</si>
  <si>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</si>
  <si>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</si>
  <si>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</si>
  <si>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</si>
  <si>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</si>
  <si>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</si>
  <si>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</si>
  <si>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</si>
  <si>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</si>
  <si>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</si>
  <si>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</si>
  <si>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</si>
  <si>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</si>
  <si>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</si>
  <si>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</si>
  <si>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</si>
  <si>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</si>
  <si>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</si>
  <si>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</si>
  <si>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</si>
  <si>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</si>
  <si>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</si>
  <si>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</si>
  <si>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</si>
  <si>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</si>
  <si>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</si>
  <si>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</si>
  <si>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</si>
  <si>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</si>
  <si>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</si>
  <si>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</si>
  <si>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</si>
  <si>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</si>
  <si>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</si>
  <si>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</si>
  <si>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</si>
  <si>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</si>
  <si>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</si>
  <si>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</si>
  <si>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</si>
  <si>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</si>
  <si>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</si>
  <si>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</si>
  <si>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</si>
  <si>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</si>
  <si>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</si>
  <si>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</si>
  <si>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</si>
  <si>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</si>
  <si>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</si>
  <si>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</si>
  <si>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</si>
  <si>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</si>
  <si>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</si>
  <si>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</si>
  <si>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</si>
  <si>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</si>
  <si>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</si>
  <si>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</si>
  <si>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</si>
  <si>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</si>
  <si>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</si>
  <si>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</si>
  <si>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</si>
  <si>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</si>
  <si>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</si>
  <si>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</si>
  <si>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</si>
  <si>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</si>
  <si>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</si>
  <si>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</si>
  <si>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</si>
  <si>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</si>
  <si>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</si>
  <si>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</si>
  <si>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</si>
  <si>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</si>
  <si>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</si>
  <si>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</si>
  <si>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</si>
  <si>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Assigned Student(s)</t>
  </si>
  <si>
    <t>U2-01</t>
  </si>
  <si>
    <t>U2-02</t>
  </si>
  <si>
    <t>U2-03</t>
  </si>
  <si>
    <t>Unit 2 / Phase 1</t>
  </si>
  <si>
    <t>Activity 2.1</t>
  </si>
  <si>
    <t>Activity 2.3</t>
  </si>
  <si>
    <t>Activity 2.2</t>
  </si>
  <si>
    <t>Evaluate feasibility</t>
  </si>
  <si>
    <t>Identify ,assess and plan for project risk</t>
  </si>
  <si>
    <t>Applying the findings and refine the project</t>
  </si>
  <si>
    <t>Adjusting to new members in our group and aligning on how we work together</t>
  </si>
  <si>
    <t>Commence with the system design and codding phase</t>
  </si>
  <si>
    <t>Completion of the planning and requirement analysis for the system</t>
  </si>
  <si>
    <t>Student Accommodation System</t>
  </si>
  <si>
    <t>TechWizards</t>
  </si>
  <si>
    <t>Understanding the importance of proper planning and clear stakeholder communication in defining accurate system requirements before starting any development</t>
  </si>
  <si>
    <t>Every thing went well because we worked as a team , communicated effectively and clearly divided tasks.This helped us complete all phase 1 deliverables on time</t>
  </si>
  <si>
    <t>Scheduling and coordinating meetings with our external stakeholder and aligning all group members was difficult due to different availability and communication delays</t>
  </si>
  <si>
    <t>Tasks were decided based on each member's skills and availability , and divided equally during our group meetings to ensure everyone contributes fairly</t>
  </si>
  <si>
    <t>Yes all members contributed fairly as tasks were shared equally and each member completed their assigned deliverables on time and supported each other when needed</t>
  </si>
  <si>
    <t>We handled disagreements and delays through open discussion and voting on the best solution, and by supporting members who were behind to keep the project on track</t>
  </si>
  <si>
    <t>We learned the real business needs and challenges of stakeholder, which helped us understand the importance of building system that solves actual operational problems and not just technical requirements</t>
  </si>
  <si>
    <t>Improving time management by setting internal deadlines earlier than the official due date to avoid last minutes pressure</t>
  </si>
  <si>
    <t>Enhance communication by having more regular check in meetings and updating each other frequently on progress</t>
  </si>
  <si>
    <t>To start early on system design and documentation are accurate</t>
  </si>
  <si>
    <t>Yes</t>
  </si>
  <si>
    <t>Microsoft project</t>
  </si>
  <si>
    <t>Stakeholder identification , scope statement ,questionnairs ,  set up github and supabase, and feasibility &amp; risk register</t>
  </si>
  <si>
    <t>Team member had limited access with the software</t>
  </si>
  <si>
    <t>Stakeholder analysis , requirements gathering and compiling the final documentation</t>
  </si>
  <si>
    <t xml:space="preserve">No major participation concerns , all members participated and contributed to the project </t>
  </si>
  <si>
    <t>Early task allocation, better communication and ensuring all required tools are completed</t>
  </si>
  <si>
    <t>finalizing the system design</t>
  </si>
  <si>
    <t>Delayed feedback from stakeholder</t>
  </si>
  <si>
    <t>Limited experience with microsoft project</t>
  </si>
  <si>
    <t>Allow time to learn microsoft project and complete in in the next phase</t>
  </si>
  <si>
    <t>improve communication within the group</t>
  </si>
  <si>
    <t>Resolved</t>
  </si>
  <si>
    <t>Affected finalizing requirements</t>
  </si>
  <si>
    <t>lack of the skill left the task incomplete</t>
  </si>
  <si>
    <t>Group reflection &amp; progress report and contribution record</t>
  </si>
  <si>
    <t>Progress report and microsoft project are proof</t>
  </si>
  <si>
    <t>Communicated via Email</t>
  </si>
  <si>
    <t>Documentation was sent on group whatsApp</t>
  </si>
  <si>
    <t>Group members verified it</t>
  </si>
  <si>
    <t>Kananelo Mafohla</t>
  </si>
  <si>
    <t>Michell Kgatuke</t>
  </si>
  <si>
    <t>Phumla Mongwe</t>
  </si>
  <si>
    <t>phumla Mongwe</t>
  </si>
  <si>
    <t>Compile the initial SRS,  identify and confirm the stakeholder</t>
  </si>
  <si>
    <t>Activity 1.1 &amp; 1.3</t>
  </si>
  <si>
    <t>Thato Malepe</t>
  </si>
  <si>
    <t>VP Mashele</t>
  </si>
  <si>
    <t>Thato Malepe &amp; Chauke Salgah</t>
  </si>
  <si>
    <t>Salgah Chauke</t>
  </si>
  <si>
    <t>Phumla mongwe</t>
  </si>
  <si>
    <t>Chauke Salgah</t>
  </si>
  <si>
    <t>Manala Elelwani</t>
  </si>
  <si>
    <t>Activity  2</t>
  </si>
  <si>
    <t>Evaluate feasibility
Identify ,assess and plan for project risk
Apply the findings and refine the project</t>
  </si>
  <si>
    <t>All allocated task were completed</t>
  </si>
  <si>
    <t xml:space="preserve">Thato Malepe </t>
  </si>
  <si>
    <t>Created Github repository and supabase project</t>
  </si>
  <si>
    <t>Created  and supabase project , and document current process and problems</t>
  </si>
  <si>
    <t>Create Microsoft Project schedule</t>
  </si>
  <si>
    <t>N/A</t>
  </si>
  <si>
    <t>Document was sent on whatsapp group</t>
  </si>
  <si>
    <t>Manala Elelwami</t>
  </si>
  <si>
    <t>Iderstand the current system, Identify challenges, gather requirements, defining scope and objectives and build professional relationship</t>
  </si>
  <si>
    <t>Guide system objectives and validate that the student accommodation management system addresses real operational challenges</t>
  </si>
  <si>
    <t>Document all requirements , analyze current challenges,define system objectives and scope, and prepare for the design phase after stakeholder validation</t>
  </si>
  <si>
    <t>https://github.com/MalepeMM/student-accommodation-management-system</t>
  </si>
  <si>
    <t>Email communication</t>
  </si>
  <si>
    <t>Student accommodation is currently managed through untrusted and fragmented channels such as WhatsApp, Facebook, telephone calls, paper records and spreadsheets. These methods make it difficult for landlords to keep accommodation listings, student enquiries, student information and maintenance requests organised in one place.</t>
  </si>
  <si>
    <t>The problem affects both landlords and students. Landlords may lose track of enquiries and important documents including lease agreements, while students may experience delays when searching for available accommodation or submitting requests, and may be scammed by fake landlords. The lack of a centralised system results in lost information, duplicated communication, delayed responses and inefficient accommodation management.</t>
  </si>
  <si>
    <t>An integrated digital solution is therefore needed to centralise accommodation information, student applications and maintenance requests, and to improve communication between landlords and students</t>
  </si>
  <si>
    <t>Email</t>
  </si>
  <si>
    <t>Salgah chauke
Michell kgatuke
VP mashele</t>
  </si>
  <si>
    <t>MR MOKODUWE</t>
  </si>
  <si>
    <t>M Kgatuke</t>
  </si>
  <si>
    <t>Butis Bloc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</si>
</sst>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7">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u/>
      <sz val="11"/>
      <color theme="10"/>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6" fillId="0" borderId="0" applyNumberFormat="0" applyFill="0" applyBorder="0" applyAlignment="0" applyProtection="0"/>
  </cellStyleXfs>
  <cellXfs count="39">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165" fontId="0" fillId="0" borderId="8" xfId="0" applyNumberFormat="1" applyBorder="1" applyAlignment="1">
      <alignment vertical="top" wrapText="1"/>
    </xf>
    <xf numFmtId="166" fontId="0" fillId="0" borderId="8" xfId="0" applyNumberFormat="1" applyBorder="1" applyAlignment="1">
      <alignment vertical="top" wrapText="1"/>
    </xf>
    <xf numFmtId="0" fontId="0" fillId="0" borderId="6" xfId="0" applyBorder="1" applyAlignment="1">
      <alignment vertical="top" wrapText="1"/>
    </xf>
    <xf numFmtId="167" fontId="0" fillId="0" borderId="0" xfId="0" applyNumberFormat="1" applyAlignment="1">
      <alignment vertical="top" wrapText="1"/>
    </xf>
    <xf numFmtId="167" fontId="0" fillId="0" borderId="8" xfId="0" applyNumberFormat="1" applyBorder="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15" fontId="5" fillId="6" borderId="4" xfId="0" applyNumberFormat="1" applyFont="1" applyFill="1" applyBorder="1" applyAlignment="1">
      <alignment vertical="top" wrapText="1"/>
    </xf>
    <xf numFmtId="0" fontId="6" fillId="0" borderId="0" xfId="1" applyAlignment="1">
      <alignment vertical="top" wrapText="1"/>
    </xf>
    <xf numFmtId="0" fontId="1" fillId="2" borderId="0" xfId="0" applyFont="1" applyFill="1" applyAlignment="1">
      <alignment horizontal="left" vertical="center"/>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cellXfs>
  <cellStyles count="2">
    <cellStyle name="Hyperlink" xfId="1" builtinId="8"/>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14</c:v>
                </c:pt>
                <c:pt idx="1">
                  <c:v>0</c:v>
                </c:pt>
                <c:pt idx="2">
                  <c:v>0</c:v>
                </c:pt>
                <c:pt idx="3">
                  <c:v>0</c:v>
                </c:pt>
                <c:pt idx="4">
                  <c:v>0</c:v>
                </c:pt>
                <c:pt idx="5">
                  <c:v>0</c:v>
                </c:pt>
              </c:numCache>
            </c:numRef>
          </c:val>
          <c:extLst>
            <c:ext xmlns:c16="http://schemas.microsoft.com/office/drawing/2014/chart" uri="{C3380CC4-5D6E-409C-BE32-E72D297353CC}">
              <c16:uniqueId val="{00000000-66FE-464B-AC0A-188FCD96690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github.com/MalepeMM/student-accommodation-management-system" TargetMode="External"/><Relationship Id="rId1" Type="http://schemas.openxmlformats.org/officeDocument/2006/relationships/hyperlink" Target="https://github.com/MalepeMM/student-accommodation-management-syste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A4" zoomScale="87" zoomScaleNormal="130" workbookViewId="0">
      <selection activeCell="B6" sqref="B6"/>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20.100000000000001" customHeight="1">
      <c r="A1" s="31" t="s">
        <v>0</v>
      </c>
      <c r="B1" s="31"/>
      <c r="C1" s="31"/>
      <c r="D1" s="31"/>
      <c r="E1" s="31"/>
      <c r="F1" s="31"/>
      <c r="G1" s="31"/>
      <c r="H1" s="31"/>
    </row>
    <row r="3" spans="1:8" ht="27.95" customHeight="1">
      <c r="A3" s="32" t="s">
        <v>1</v>
      </c>
      <c r="B3" s="32"/>
      <c r="C3" s="32"/>
      <c r="D3" s="32"/>
      <c r="E3" s="32"/>
      <c r="F3" s="32"/>
      <c r="G3" s="32"/>
      <c r="H3" s="32"/>
    </row>
    <row r="5" spans="1:8" ht="15">
      <c r="A5" s="1" t="s">
        <v>2</v>
      </c>
      <c r="B5" s="2" t="s">
        <v>3</v>
      </c>
      <c r="D5" s="33" t="s">
        <v>4</v>
      </c>
      <c r="E5" s="34"/>
      <c r="F5" s="35"/>
      <c r="G5" s="35"/>
      <c r="H5" s="35"/>
    </row>
    <row r="6" spans="1:8" ht="45.6" customHeight="1">
      <c r="A6" s="3" t="s">
        <v>5</v>
      </c>
      <c r="B6" s="4" t="s">
        <v>6</v>
      </c>
      <c r="D6" s="3" t="s">
        <v>7</v>
      </c>
      <c r="E6" s="4" t="s">
        <v>8</v>
      </c>
    </row>
    <row r="7" spans="1:8" ht="41.45" customHeight="1">
      <c r="A7" s="3" t="s">
        <v>9</v>
      </c>
      <c r="B7" s="4" t="s">
        <v>10</v>
      </c>
      <c r="D7" s="3" t="s">
        <v>11</v>
      </c>
      <c r="E7" s="4" t="s">
        <v>12</v>
      </c>
    </row>
    <row r="8" spans="1:8" ht="35.450000000000003" customHeight="1">
      <c r="A8" s="3" t="s">
        <v>13</v>
      </c>
      <c r="B8" s="4" t="s">
        <v>14</v>
      </c>
      <c r="D8" s="3" t="s">
        <v>15</v>
      </c>
      <c r="E8" s="4" t="s">
        <v>16</v>
      </c>
    </row>
    <row r="9" spans="1:8" ht="35.1" customHeight="1">
      <c r="A9" s="3" t="s">
        <v>17</v>
      </c>
      <c r="B9" s="4" t="s">
        <v>18</v>
      </c>
      <c r="D9" s="3" t="s">
        <v>19</v>
      </c>
      <c r="E9" s="4" t="s">
        <v>20</v>
      </c>
    </row>
    <row r="10" spans="1:8" ht="44.45" customHeight="1">
      <c r="A10" s="3" t="s">
        <v>21</v>
      </c>
      <c r="B10" s="4" t="s">
        <v>22</v>
      </c>
      <c r="D10" s="3" t="s">
        <v>23</v>
      </c>
      <c r="E10" s="4" t="s">
        <v>24</v>
      </c>
    </row>
    <row r="11" spans="1:8" ht="38.450000000000003" customHeight="1">
      <c r="A11" s="3" t="s">
        <v>25</v>
      </c>
      <c r="B11" s="4" t="s">
        <v>26</v>
      </c>
      <c r="D11" s="5" t="s">
        <v>27</v>
      </c>
      <c r="E11" s="6" t="s">
        <v>28</v>
      </c>
    </row>
    <row r="12" spans="1:8" ht="28.5">
      <c r="A12" s="5" t="s">
        <v>29</v>
      </c>
      <c r="B12" s="6" t="s">
        <v>30</v>
      </c>
    </row>
    <row r="13" spans="1:8" ht="15">
      <c r="D13" s="33" t="s">
        <v>31</v>
      </c>
      <c r="E13" s="34"/>
      <c r="F13" s="35"/>
      <c r="G13" s="35"/>
      <c r="H13" s="35"/>
    </row>
    <row r="14" spans="1:8" ht="30">
      <c r="D14" s="3" t="s">
        <v>32</v>
      </c>
      <c r="E14" s="4" t="s">
        <v>33</v>
      </c>
    </row>
    <row r="15" spans="1:8" ht="15">
      <c r="D15" s="3" t="s">
        <v>34</v>
      </c>
      <c r="E15" s="4" t="s">
        <v>35</v>
      </c>
    </row>
    <row r="16" spans="1:8" ht="15">
      <c r="D16" s="3" t="s">
        <v>36</v>
      </c>
      <c r="E16" s="4"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abSelected="1" topLeftCell="A4" workbookViewId="0">
      <selection activeCell="B17" sqref="B17"/>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20.100000000000001" customHeight="1">
      <c r="A1" s="31" t="s">
        <v>40</v>
      </c>
      <c r="B1" s="31"/>
      <c r="C1" s="31"/>
      <c r="D1" s="31"/>
      <c r="E1" s="31"/>
      <c r="F1" s="31"/>
      <c r="G1" s="31"/>
      <c r="H1" s="31"/>
      <c r="I1" s="31"/>
      <c r="J1" s="31"/>
      <c r="K1" s="31"/>
      <c r="L1" s="31"/>
    </row>
    <row r="3" spans="1:12" ht="15">
      <c r="A3" s="1" t="s">
        <v>41</v>
      </c>
      <c r="B3" s="2" t="s">
        <v>42</v>
      </c>
      <c r="F3" s="1" t="s">
        <v>43</v>
      </c>
      <c r="G3" s="2" t="s">
        <v>44</v>
      </c>
    </row>
    <row r="4" spans="1:12" ht="18.600000000000001" customHeight="1">
      <c r="A4" s="3" t="s">
        <v>45</v>
      </c>
      <c r="B4" s="7" t="s">
        <v>185</v>
      </c>
      <c r="F4" s="3" t="s">
        <v>46</v>
      </c>
      <c r="G4" s="10">
        <f>COUNTIF('Task Progress'!H2:H101,"Completed")</f>
        <v>14</v>
      </c>
    </row>
    <row r="5" spans="1:12" ht="18.600000000000001" customHeight="1">
      <c r="A5" s="3" t="s">
        <v>47</v>
      </c>
      <c r="B5" s="7" t="s">
        <v>184</v>
      </c>
      <c r="F5" s="3" t="s">
        <v>48</v>
      </c>
      <c r="G5" s="10">
        <f>COUNTIF('Task Progress'!H2:H101,"In Progress")</f>
        <v>0</v>
      </c>
    </row>
    <row r="6" spans="1:12" ht="18.600000000000001" customHeight="1">
      <c r="A6" s="3" t="s">
        <v>49</v>
      </c>
      <c r="B6" s="7" t="s">
        <v>251</v>
      </c>
      <c r="F6" s="3" t="s">
        <v>50</v>
      </c>
      <c r="G6" s="10">
        <f>COUNTIF('Task Progress'!H2:H101,"Not Started")</f>
        <v>0</v>
      </c>
    </row>
    <row r="7" spans="1:12" ht="18.600000000000001" customHeight="1">
      <c r="A7" s="3" t="s">
        <v>51</v>
      </c>
      <c r="B7" s="7" t="s">
        <v>249</v>
      </c>
      <c r="F7" s="3" t="s">
        <v>52</v>
      </c>
      <c r="G7" s="10">
        <f>COUNTIF('Task Progress'!H2:H101,"Delayed")</f>
        <v>0</v>
      </c>
    </row>
    <row r="8" spans="1:12" ht="18.600000000000001" customHeight="1">
      <c r="A8" s="3" t="s">
        <v>53</v>
      </c>
      <c r="B8" s="7" t="s">
        <v>32</v>
      </c>
      <c r="F8" s="3" t="s">
        <v>54</v>
      </c>
      <c r="G8" s="10">
        <f>COUNTIF('Task Progress'!H2:H101,"Blocked")</f>
        <v>0</v>
      </c>
    </row>
    <row r="9" spans="1:12" ht="18.600000000000001" customHeight="1">
      <c r="A9" s="3" t="s">
        <v>55</v>
      </c>
      <c r="B9" s="29">
        <v>46257</v>
      </c>
      <c r="F9" s="5" t="s">
        <v>56</v>
      </c>
      <c r="G9" s="11">
        <f ca="1">COUNTIF('Task Progress'!M2:M101,"Overdue")</f>
        <v>0</v>
      </c>
    </row>
    <row r="10" spans="1:12" ht="18.600000000000001" customHeight="1">
      <c r="A10" s="3" t="s">
        <v>57</v>
      </c>
      <c r="B10" s="7" t="s">
        <v>48</v>
      </c>
    </row>
    <row r="11" spans="1:12" ht="18.600000000000001" customHeight="1">
      <c r="A11" s="3" t="s">
        <v>58</v>
      </c>
      <c r="B11" s="8">
        <f>IFERROR(SUM('Task Progress'!I2:I101)/COUNTIF('Task Progress'!D2:D101,"&lt;&gt;")/100,0)</f>
        <v>0.93333333333333324</v>
      </c>
      <c r="F11" s="1" t="s">
        <v>59</v>
      </c>
      <c r="G11" s="2" t="s">
        <v>44</v>
      </c>
    </row>
    <row r="12" spans="1:12" ht="32.1" customHeight="1">
      <c r="A12" s="3" t="s">
        <v>60</v>
      </c>
      <c r="B12" s="7" t="s">
        <v>183</v>
      </c>
      <c r="F12" s="3" t="s">
        <v>61</v>
      </c>
      <c r="G12" s="10">
        <f>COUNTIF('Individual Contributions'!E3:E201,"?*")</f>
        <v>7</v>
      </c>
    </row>
    <row r="13" spans="1:12" ht="32.1" customHeight="1">
      <c r="A13" s="3" t="s">
        <v>62</v>
      </c>
      <c r="B13" s="7" t="s">
        <v>181</v>
      </c>
      <c r="F13" s="3" t="s">
        <v>63</v>
      </c>
      <c r="G13" s="10">
        <f>COUNTIFS('Individual Contributions'!E3:E201,"?*",'Individual Contributions'!J3:J201,"Yes")</f>
        <v>7</v>
      </c>
    </row>
    <row r="14" spans="1:12" ht="32.1" customHeight="1">
      <c r="A14" s="5" t="s">
        <v>64</v>
      </c>
      <c r="B14" s="9" t="s">
        <v>182</v>
      </c>
      <c r="F14" s="3" t="s">
        <v>65</v>
      </c>
      <c r="G14" s="10">
        <f>COUNTIFS('Individual Contributions'!E3:E201,"?*",'Individual Contributions'!J3:J201,"No")</f>
        <v>0</v>
      </c>
    </row>
    <row r="15" spans="1:12" ht="15">
      <c r="F15" s="5" t="s">
        <v>66</v>
      </c>
      <c r="G15" s="11">
        <f>COUNT('Stakeholder Engagement'!A3:A101)</f>
        <v>1</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topLeftCell="A10" zoomScale="78" workbookViewId="0">
      <selection activeCell="G17" sqref="G17"/>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20.100000000000001" customHeight="1">
      <c r="A1" s="31" t="s">
        <v>67</v>
      </c>
      <c r="B1" s="31"/>
      <c r="C1" s="31"/>
      <c r="D1" s="31"/>
      <c r="E1" s="31"/>
      <c r="F1" s="31"/>
      <c r="G1" s="31"/>
      <c r="H1" s="31"/>
      <c r="I1" s="31"/>
      <c r="J1" s="31"/>
      <c r="K1" s="31"/>
      <c r="L1" s="31"/>
      <c r="M1" s="31"/>
    </row>
    <row r="2" spans="1:13" ht="30">
      <c r="A2" s="1" t="s">
        <v>68</v>
      </c>
      <c r="B2" s="15" t="s">
        <v>69</v>
      </c>
      <c r="C2" s="15" t="s">
        <v>70</v>
      </c>
      <c r="D2" s="15" t="s">
        <v>71</v>
      </c>
      <c r="E2" s="15" t="s">
        <v>170</v>
      </c>
      <c r="F2" s="15" t="s">
        <v>72</v>
      </c>
      <c r="G2" s="15" t="s">
        <v>73</v>
      </c>
      <c r="H2" s="15" t="s">
        <v>74</v>
      </c>
      <c r="I2" s="15" t="s">
        <v>75</v>
      </c>
      <c r="J2" s="15" t="s">
        <v>76</v>
      </c>
      <c r="K2" s="15" t="s">
        <v>77</v>
      </c>
      <c r="L2" s="15" t="s">
        <v>78</v>
      </c>
      <c r="M2" s="2" t="s">
        <v>79</v>
      </c>
    </row>
    <row r="3" spans="1:13">
      <c r="A3" s="16" t="s">
        <v>80</v>
      </c>
      <c r="B3" s="12" t="s">
        <v>32</v>
      </c>
      <c r="C3" s="12" t="s">
        <v>81</v>
      </c>
      <c r="D3" s="12" t="s">
        <v>82</v>
      </c>
      <c r="E3" s="12" t="s">
        <v>217</v>
      </c>
      <c r="F3" s="13">
        <v>46252</v>
      </c>
      <c r="G3" s="13">
        <v>46259</v>
      </c>
      <c r="H3" s="12" t="s">
        <v>46</v>
      </c>
      <c r="I3" s="14">
        <v>100</v>
      </c>
      <c r="J3" s="12" t="s">
        <v>213</v>
      </c>
      <c r="K3" s="12" t="s">
        <v>196</v>
      </c>
      <c r="L3" s="12"/>
      <c r="M3" s="17" t="str">
        <f t="shared" ref="M3:M34" ca="1" si="0">IF(D3="","",IF(H3="Completed","Completed",IF(H3="Blocked","Blocked",IF(H3="Delayed","Delayed",IF(AND(G3&lt;&gt;"",G3&lt;TODAY(),H3&lt;&gt;"Completed"),"Overdue","On Track")))))</f>
        <v>Completed</v>
      </c>
    </row>
    <row r="4" spans="1:13" ht="28.5">
      <c r="A4" s="16" t="s">
        <v>83</v>
      </c>
      <c r="B4" s="12" t="s">
        <v>32</v>
      </c>
      <c r="C4" s="12" t="s">
        <v>81</v>
      </c>
      <c r="D4" s="12" t="s">
        <v>84</v>
      </c>
      <c r="E4" s="12" t="s">
        <v>227</v>
      </c>
      <c r="F4" s="13">
        <v>46254</v>
      </c>
      <c r="G4" s="13">
        <v>46259</v>
      </c>
      <c r="H4" s="12" t="s">
        <v>46</v>
      </c>
      <c r="I4" s="14">
        <v>100</v>
      </c>
      <c r="J4" s="12" t="s">
        <v>212</v>
      </c>
      <c r="K4" s="12" t="s">
        <v>196</v>
      </c>
      <c r="L4" s="12"/>
      <c r="M4" s="17" t="str">
        <f t="shared" ca="1" si="0"/>
        <v>Completed</v>
      </c>
    </row>
    <row r="5" spans="1:13" ht="28.5">
      <c r="A5" s="16" t="s">
        <v>85</v>
      </c>
      <c r="B5" s="12" t="s">
        <v>32</v>
      </c>
      <c r="C5" s="12" t="s">
        <v>81</v>
      </c>
      <c r="D5" s="12" t="s">
        <v>86</v>
      </c>
      <c r="E5" s="12" t="s">
        <v>217</v>
      </c>
      <c r="F5" s="13">
        <v>46254</v>
      </c>
      <c r="G5" s="13">
        <v>46259</v>
      </c>
      <c r="H5" s="12" t="s">
        <v>46</v>
      </c>
      <c r="I5" s="14">
        <v>100</v>
      </c>
      <c r="J5" s="12" t="s">
        <v>214</v>
      </c>
      <c r="K5" s="12" t="s">
        <v>196</v>
      </c>
      <c r="L5" s="12"/>
      <c r="M5" s="17" t="str">
        <f t="shared" ca="1" si="0"/>
        <v>Completed</v>
      </c>
    </row>
    <row r="6" spans="1:13" ht="28.5">
      <c r="A6" s="16" t="s">
        <v>87</v>
      </c>
      <c r="B6" s="12" t="s">
        <v>32</v>
      </c>
      <c r="C6" s="12" t="s">
        <v>88</v>
      </c>
      <c r="D6" s="12" t="s">
        <v>89</v>
      </c>
      <c r="E6" s="12" t="s">
        <v>216</v>
      </c>
      <c r="F6" s="13">
        <v>46254</v>
      </c>
      <c r="G6" s="13">
        <v>46259</v>
      </c>
      <c r="H6" s="12" t="s">
        <v>46</v>
      </c>
      <c r="I6" s="14">
        <v>100</v>
      </c>
      <c r="J6" s="12" t="s">
        <v>214</v>
      </c>
      <c r="K6" s="12" t="s">
        <v>196</v>
      </c>
      <c r="L6" s="12"/>
      <c r="M6" s="17" t="str">
        <f t="shared" ca="1" si="0"/>
        <v>Completed</v>
      </c>
    </row>
    <row r="7" spans="1:13" ht="28.5">
      <c r="A7" s="16" t="s">
        <v>90</v>
      </c>
      <c r="B7" s="12" t="s">
        <v>32</v>
      </c>
      <c r="C7" s="12" t="s">
        <v>88</v>
      </c>
      <c r="D7" s="12" t="s">
        <v>91</v>
      </c>
      <c r="E7" s="12"/>
      <c r="F7" s="13">
        <v>46254</v>
      </c>
      <c r="G7" s="13">
        <v>46262</v>
      </c>
      <c r="H7" s="12" t="s">
        <v>46</v>
      </c>
      <c r="I7" s="14">
        <v>100</v>
      </c>
      <c r="J7" s="12"/>
      <c r="K7" s="12" t="s">
        <v>196</v>
      </c>
      <c r="L7" s="12"/>
      <c r="M7" s="17" t="str">
        <f t="shared" ca="1" si="0"/>
        <v>Completed</v>
      </c>
    </row>
    <row r="8" spans="1:13" ht="28.5">
      <c r="A8" s="16" t="s">
        <v>92</v>
      </c>
      <c r="B8" s="12" t="s">
        <v>32</v>
      </c>
      <c r="C8" s="12" t="s">
        <v>93</v>
      </c>
      <c r="D8" s="12" t="s">
        <v>94</v>
      </c>
      <c r="E8" s="16" t="s">
        <v>217</v>
      </c>
      <c r="F8" s="13">
        <v>46254</v>
      </c>
      <c r="G8" s="13">
        <v>46259</v>
      </c>
      <c r="H8" s="12" t="s">
        <v>46</v>
      </c>
      <c r="I8" s="14">
        <v>100</v>
      </c>
      <c r="J8" s="12" t="s">
        <v>214</v>
      </c>
      <c r="K8" s="12" t="s">
        <v>196</v>
      </c>
      <c r="L8" s="12"/>
      <c r="M8" s="17" t="str">
        <f t="shared" ca="1" si="0"/>
        <v>Completed</v>
      </c>
    </row>
    <row r="9" spans="1:13" ht="28.5">
      <c r="A9" s="16" t="s">
        <v>95</v>
      </c>
      <c r="B9" s="12" t="s">
        <v>32</v>
      </c>
      <c r="C9" s="12" t="s">
        <v>93</v>
      </c>
      <c r="D9" s="12" t="s">
        <v>96</v>
      </c>
      <c r="E9" s="12" t="s">
        <v>228</v>
      </c>
      <c r="F9" s="13">
        <v>46254</v>
      </c>
      <c r="G9" s="13"/>
      <c r="H9" s="12" t="s">
        <v>46</v>
      </c>
      <c r="I9" s="14">
        <v>100</v>
      </c>
      <c r="J9" s="12" t="s">
        <v>214</v>
      </c>
      <c r="K9" s="12" t="s">
        <v>196</v>
      </c>
      <c r="L9" s="12"/>
      <c r="M9" s="17" t="str">
        <f t="shared" ca="1" si="0"/>
        <v>Completed</v>
      </c>
    </row>
    <row r="10" spans="1:13" ht="28.5">
      <c r="A10" s="16" t="s">
        <v>97</v>
      </c>
      <c r="B10" s="12" t="s">
        <v>32</v>
      </c>
      <c r="C10" s="12" t="s">
        <v>93</v>
      </c>
      <c r="D10" s="12" t="s">
        <v>98</v>
      </c>
      <c r="E10" s="12" t="s">
        <v>232</v>
      </c>
      <c r="F10" s="13">
        <v>46254</v>
      </c>
      <c r="G10" s="13">
        <v>46259</v>
      </c>
      <c r="H10" s="12" t="s">
        <v>46</v>
      </c>
      <c r="I10" s="14">
        <v>100</v>
      </c>
      <c r="J10" s="12" t="s">
        <v>242</v>
      </c>
      <c r="K10" s="12" t="s">
        <v>196</v>
      </c>
      <c r="L10" s="12"/>
      <c r="M10" s="17" t="str">
        <f t="shared" ca="1" si="0"/>
        <v>Completed</v>
      </c>
    </row>
    <row r="11" spans="1:13" ht="28.5">
      <c r="A11" s="16" t="s">
        <v>99</v>
      </c>
      <c r="B11" s="12" t="s">
        <v>32</v>
      </c>
      <c r="C11" s="12" t="s">
        <v>93</v>
      </c>
      <c r="D11" s="12" t="s">
        <v>100</v>
      </c>
      <c r="E11" s="12" t="s">
        <v>224</v>
      </c>
      <c r="F11" s="13">
        <v>46254</v>
      </c>
      <c r="G11" s="13">
        <v>46259</v>
      </c>
      <c r="H11" s="12" t="s">
        <v>46</v>
      </c>
      <c r="I11" s="14">
        <v>100</v>
      </c>
      <c r="J11" s="12" t="s">
        <v>242</v>
      </c>
      <c r="K11" s="12" t="s">
        <v>196</v>
      </c>
      <c r="L11" s="12"/>
      <c r="M11" s="17" t="str">
        <f t="shared" ca="1" si="0"/>
        <v>Completed</v>
      </c>
    </row>
    <row r="12" spans="1:13" ht="28.5">
      <c r="A12" s="16" t="s">
        <v>101</v>
      </c>
      <c r="B12" s="12" t="s">
        <v>32</v>
      </c>
      <c r="C12" s="12" t="s">
        <v>93</v>
      </c>
      <c r="D12" s="12" t="s">
        <v>102</v>
      </c>
      <c r="E12" s="12" t="s">
        <v>218</v>
      </c>
      <c r="F12" s="13">
        <v>46254</v>
      </c>
      <c r="G12" s="13">
        <v>46259</v>
      </c>
      <c r="H12" s="12" t="s">
        <v>46</v>
      </c>
      <c r="I12" s="14">
        <v>100</v>
      </c>
      <c r="J12" s="12" t="s">
        <v>215</v>
      </c>
      <c r="K12" s="12" t="s">
        <v>196</v>
      </c>
      <c r="L12" s="12"/>
      <c r="M12" s="17" t="str">
        <f t="shared" ca="1" si="0"/>
        <v>Completed</v>
      </c>
    </row>
    <row r="13" spans="1:13">
      <c r="A13" s="16" t="s">
        <v>103</v>
      </c>
      <c r="B13" s="12" t="s">
        <v>32</v>
      </c>
      <c r="C13" s="12" t="s">
        <v>93</v>
      </c>
      <c r="D13" s="12" t="s">
        <v>104</v>
      </c>
      <c r="E13" s="12" t="s">
        <v>219</v>
      </c>
      <c r="F13" s="13">
        <v>46254</v>
      </c>
      <c r="G13" s="13">
        <v>46259</v>
      </c>
      <c r="H13" s="12" t="s">
        <v>46</v>
      </c>
      <c r="I13" s="14">
        <v>100</v>
      </c>
      <c r="J13" s="12" t="s">
        <v>215</v>
      </c>
      <c r="K13" s="12" t="s">
        <v>196</v>
      </c>
      <c r="L13" s="12"/>
      <c r="M13" s="17" t="str">
        <f t="shared" ca="1" si="0"/>
        <v>Completed</v>
      </c>
    </row>
    <row r="14" spans="1:13">
      <c r="A14" s="16"/>
      <c r="B14" s="12"/>
      <c r="C14" s="12"/>
      <c r="D14" s="12"/>
      <c r="E14" s="12"/>
      <c r="F14" s="13"/>
      <c r="G14" s="13"/>
      <c r="H14" s="12"/>
      <c r="I14" s="14"/>
      <c r="J14" s="12"/>
      <c r="K14" s="12"/>
      <c r="L14" s="12"/>
      <c r="M14" s="17" t="str">
        <f t="shared" ca="1" si="0"/>
        <v/>
      </c>
    </row>
    <row r="15" spans="1:13" ht="28.5">
      <c r="A15" s="16" t="s">
        <v>171</v>
      </c>
      <c r="B15" s="12" t="s">
        <v>174</v>
      </c>
      <c r="C15" s="12" t="s">
        <v>175</v>
      </c>
      <c r="D15" s="12" t="s">
        <v>178</v>
      </c>
      <c r="E15" s="12" t="s">
        <v>223</v>
      </c>
      <c r="F15" s="13">
        <v>46254</v>
      </c>
      <c r="G15" s="13">
        <v>46259</v>
      </c>
      <c r="H15" s="12" t="s">
        <v>46</v>
      </c>
      <c r="I15" s="14">
        <v>100</v>
      </c>
      <c r="J15" s="12" t="s">
        <v>214</v>
      </c>
      <c r="K15" s="12" t="s">
        <v>196</v>
      </c>
      <c r="L15" s="12"/>
      <c r="M15" s="17" t="str">
        <f t="shared" ca="1" si="0"/>
        <v>Completed</v>
      </c>
    </row>
    <row r="16" spans="1:13" ht="28.5">
      <c r="A16" s="16" t="s">
        <v>172</v>
      </c>
      <c r="B16" s="12" t="s">
        <v>174</v>
      </c>
      <c r="C16" s="12" t="s">
        <v>177</v>
      </c>
      <c r="D16" s="12" t="s">
        <v>179</v>
      </c>
      <c r="E16" s="12" t="s">
        <v>223</v>
      </c>
      <c r="F16" s="13">
        <v>46254</v>
      </c>
      <c r="G16" s="13">
        <v>46259</v>
      </c>
      <c r="H16" s="12" t="s">
        <v>46</v>
      </c>
      <c r="I16" s="14">
        <v>100</v>
      </c>
      <c r="J16" s="12" t="s">
        <v>214</v>
      </c>
      <c r="K16" s="12" t="s">
        <v>196</v>
      </c>
      <c r="L16" s="12"/>
      <c r="M16" s="17" t="str">
        <f t="shared" ca="1" si="0"/>
        <v>Completed</v>
      </c>
    </row>
    <row r="17" spans="1:13" ht="28.5">
      <c r="A17" s="16" t="s">
        <v>173</v>
      </c>
      <c r="B17" s="12" t="s">
        <v>174</v>
      </c>
      <c r="C17" s="12" t="s">
        <v>176</v>
      </c>
      <c r="D17" s="12" t="s">
        <v>180</v>
      </c>
      <c r="E17" s="12" t="s">
        <v>250</v>
      </c>
      <c r="F17" s="13">
        <v>46254</v>
      </c>
      <c r="G17" s="13">
        <v>46265</v>
      </c>
      <c r="H17" s="12" t="s">
        <v>46</v>
      </c>
      <c r="I17" s="14">
        <v>100</v>
      </c>
      <c r="J17" s="12" t="s">
        <v>214</v>
      </c>
      <c r="K17" s="12" t="s">
        <v>196</v>
      </c>
      <c r="L17" s="12"/>
      <c r="M17" s="17" t="str">
        <f t="shared" ca="1" si="0"/>
        <v>Completed</v>
      </c>
    </row>
    <row r="18" spans="1:13">
      <c r="A18" s="16"/>
      <c r="B18" s="12"/>
      <c r="C18" s="12"/>
      <c r="D18" s="12"/>
      <c r="E18" s="12"/>
      <c r="F18" s="13"/>
      <c r="G18" s="13"/>
      <c r="H18" s="12"/>
      <c r="I18" s="14"/>
      <c r="J18" s="12"/>
      <c r="K18" s="12"/>
      <c r="L18" s="12"/>
      <c r="M18" s="17" t="str">
        <f t="shared" ca="1" si="0"/>
        <v/>
      </c>
    </row>
    <row r="19" spans="1:13">
      <c r="A19" s="16"/>
      <c r="B19" s="12"/>
      <c r="C19" s="12"/>
      <c r="D19" s="12"/>
      <c r="E19" s="12"/>
      <c r="F19" s="13"/>
      <c r="G19" s="13"/>
      <c r="H19" s="12"/>
      <c r="I19" s="14"/>
      <c r="J19" s="12"/>
      <c r="K19" s="12"/>
      <c r="L19" s="12"/>
      <c r="M19" s="17" t="str">
        <f t="shared" ca="1" si="0"/>
        <v/>
      </c>
    </row>
    <row r="20" spans="1:13">
      <c r="A20" s="16"/>
      <c r="B20" s="12"/>
      <c r="C20" s="12"/>
      <c r="D20" s="12"/>
      <c r="E20" s="12"/>
      <c r="F20" s="13"/>
      <c r="G20" s="13"/>
      <c r="H20" s="12"/>
      <c r="I20" s="14"/>
      <c r="J20" s="12"/>
      <c r="K20" s="12"/>
      <c r="L20" s="12"/>
      <c r="M20" s="17" t="str">
        <f t="shared" ca="1" si="0"/>
        <v/>
      </c>
    </row>
    <row r="21" spans="1:13">
      <c r="A21" s="16"/>
      <c r="B21" s="12"/>
      <c r="C21" s="12"/>
      <c r="D21" s="12"/>
      <c r="E21" s="12"/>
      <c r="F21" s="13"/>
      <c r="G21" s="13"/>
      <c r="H21" s="12"/>
      <c r="I21" s="14"/>
      <c r="J21" s="12"/>
      <c r="K21" s="12"/>
      <c r="L21" s="12"/>
      <c r="M21" s="17" t="str">
        <f t="shared" ca="1" si="0"/>
        <v/>
      </c>
    </row>
    <row r="22" spans="1:13">
      <c r="A22" s="16"/>
      <c r="B22" s="12"/>
      <c r="C22" s="12"/>
      <c r="D22" s="12"/>
      <c r="E22" s="12"/>
      <c r="F22" s="13"/>
      <c r="G22" s="13"/>
      <c r="H22" s="12"/>
      <c r="I22" s="14"/>
      <c r="J22" s="12"/>
      <c r="K22" s="12"/>
      <c r="L22" s="12"/>
      <c r="M22" s="17" t="str">
        <f t="shared" ca="1" si="0"/>
        <v/>
      </c>
    </row>
    <row r="23" spans="1:13">
      <c r="A23" s="16"/>
      <c r="B23" s="12"/>
      <c r="C23" s="12"/>
      <c r="D23" s="12"/>
      <c r="E23" s="12"/>
      <c r="F23" s="13"/>
      <c r="G23" s="13"/>
      <c r="H23" s="12"/>
      <c r="I23" s="14"/>
      <c r="J23" s="12"/>
      <c r="K23" s="12"/>
      <c r="L23" s="12"/>
      <c r="M23" s="17" t="str">
        <f t="shared" ca="1" si="0"/>
        <v/>
      </c>
    </row>
    <row r="24" spans="1:13">
      <c r="A24" s="16"/>
      <c r="B24" s="12"/>
      <c r="C24" s="12"/>
      <c r="D24" s="12"/>
      <c r="E24" s="12"/>
      <c r="F24" s="13"/>
      <c r="G24" s="13"/>
      <c r="H24" s="12"/>
      <c r="I24" s="14"/>
      <c r="J24" s="12"/>
      <c r="K24" s="12"/>
      <c r="L24" s="12"/>
      <c r="M24" s="17" t="str">
        <f t="shared" ca="1" si="0"/>
        <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ref="M35:M66" ca="1" si="1">IF(D35="","",IF(H35="Completed","Completed",IF(H35="Blocked","Blocked",IF(H35="Delayed","Delayed",IF(AND(G35&lt;&gt;"",G35&lt;TODAY(),H35&lt;&gt;"Completed"),"Overdue","On Track")))))</f>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ref="M67:M101" ca="1" si="2">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8"/>
      <c r="B101" s="19"/>
      <c r="C101" s="19"/>
      <c r="D101" s="19"/>
      <c r="E101" s="19"/>
      <c r="F101" s="20"/>
      <c r="G101" s="20"/>
      <c r="H101" s="19"/>
      <c r="I101" s="21"/>
      <c r="J101" s="19"/>
      <c r="K101" s="19"/>
      <c r="L101" s="19"/>
      <c r="M101" s="22" t="str">
        <f t="shared" ca="1" si="2"/>
        <v/>
      </c>
    </row>
  </sheetData>
  <mergeCells count="1">
    <mergeCell ref="A1:M1"/>
  </mergeCells>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I3:I101">
    <cfRule type="dataBar" priority="6">
      <dataBar>
        <cfvo type="min"/>
        <cfvo type="max"/>
        <color rgb="FF1F5A94"/>
      </dataBar>
    </cfRule>
    <cfRule type="dataBar" priority="7">
      <dataBar>
        <cfvo type="min"/>
        <cfvo type="max"/>
        <color rgb="FF1F5A94"/>
      </dataBar>
      <extLst>
        <ext xmlns:x14="http://schemas.microsoft.com/office/spreadsheetml/2009/9/main" uri="{B025F937-C7B1-47D3-B67F-A62EFF666E3E}">
          <x14:id>{47F2417F-5A51-25CB-3D69-48DA80333B65}</x14:id>
        </ext>
      </extLst>
    </cfRule>
  </conditionalFormatting>
  <conditionalFormatting sqref="M3:M101">
    <cfRule type="expression" dxfId="7" priority="5">
      <formula>M3="Overdue"</formula>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topLeftCell="F1" zoomScale="70" workbookViewId="0">
      <selection activeCell="F21" sqref="F21"/>
    </sheetView>
  </sheetViews>
  <sheetFormatPr defaultRowHeight="14.25"/>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20.100000000000001" customHeight="1">
      <c r="A1" s="31" t="s">
        <v>105</v>
      </c>
      <c r="B1" s="31"/>
      <c r="C1" s="31"/>
      <c r="D1" s="31"/>
      <c r="E1" s="31"/>
      <c r="F1" s="31"/>
      <c r="G1" s="31"/>
      <c r="H1" s="31"/>
      <c r="I1" s="31"/>
      <c r="J1" s="31"/>
      <c r="K1" s="31"/>
      <c r="L1" s="31"/>
    </row>
    <row r="2" spans="1:12" ht="30">
      <c r="A2" s="1" t="s">
        <v>106</v>
      </c>
      <c r="B2" s="15" t="s">
        <v>107</v>
      </c>
      <c r="C2" s="15" t="s">
        <v>69</v>
      </c>
      <c r="D2" s="15" t="s">
        <v>70</v>
      </c>
      <c r="E2" s="15" t="s">
        <v>108</v>
      </c>
      <c r="F2" s="15" t="s">
        <v>109</v>
      </c>
      <c r="G2" s="15" t="s">
        <v>110</v>
      </c>
      <c r="H2" s="15" t="s">
        <v>111</v>
      </c>
      <c r="I2" s="15" t="s">
        <v>76</v>
      </c>
      <c r="J2" s="15" t="s">
        <v>77</v>
      </c>
      <c r="K2" s="15" t="s">
        <v>112</v>
      </c>
      <c r="L2" s="2" t="s">
        <v>113</v>
      </c>
    </row>
    <row r="3" spans="1:12" ht="28.5">
      <c r="A3" s="16" t="s">
        <v>226</v>
      </c>
      <c r="B3" s="12">
        <v>222072446</v>
      </c>
      <c r="C3" s="12" t="s">
        <v>32</v>
      </c>
      <c r="D3" s="12" t="s">
        <v>93</v>
      </c>
      <c r="E3" s="12" t="s">
        <v>211</v>
      </c>
      <c r="F3" s="12" t="s">
        <v>231</v>
      </c>
      <c r="G3" s="13">
        <v>46257</v>
      </c>
      <c r="H3" s="23">
        <v>8</v>
      </c>
      <c r="I3" s="12" t="s">
        <v>237</v>
      </c>
      <c r="J3" s="12" t="s">
        <v>196</v>
      </c>
      <c r="K3" s="13">
        <v>46259</v>
      </c>
      <c r="L3" s="17" t="s">
        <v>236</v>
      </c>
    </row>
    <row r="4" spans="1:12" ht="28.5">
      <c r="A4" s="16" t="s">
        <v>216</v>
      </c>
      <c r="B4" s="12">
        <v>223038263</v>
      </c>
      <c r="C4" s="12" t="s">
        <v>32</v>
      </c>
      <c r="D4" s="12" t="s">
        <v>88</v>
      </c>
      <c r="E4" s="12" t="s">
        <v>89</v>
      </c>
      <c r="F4" s="12" t="s">
        <v>231</v>
      </c>
      <c r="G4" s="13">
        <v>46255</v>
      </c>
      <c r="H4" s="23">
        <v>1</v>
      </c>
      <c r="I4" s="12" t="s">
        <v>237</v>
      </c>
      <c r="J4" s="12" t="s">
        <v>196</v>
      </c>
      <c r="K4" s="13">
        <v>46259</v>
      </c>
      <c r="L4" s="17" t="s">
        <v>236</v>
      </c>
    </row>
    <row r="5" spans="1:12" ht="28.5">
      <c r="A5" s="16" t="s">
        <v>217</v>
      </c>
      <c r="B5" s="12">
        <v>222029835</v>
      </c>
      <c r="C5" s="12" t="s">
        <v>32</v>
      </c>
      <c r="D5" s="12" t="s">
        <v>221</v>
      </c>
      <c r="E5" s="12" t="s">
        <v>220</v>
      </c>
      <c r="F5" s="12" t="s">
        <v>231</v>
      </c>
      <c r="G5" s="13">
        <v>46259</v>
      </c>
      <c r="H5" s="23">
        <v>12</v>
      </c>
      <c r="I5" s="12" t="s">
        <v>237</v>
      </c>
      <c r="J5" s="12" t="s">
        <v>196</v>
      </c>
      <c r="K5" s="13">
        <v>46259</v>
      </c>
      <c r="L5" s="17" t="s">
        <v>236</v>
      </c>
    </row>
    <row r="6" spans="1:12" ht="28.5">
      <c r="A6" s="16" t="s">
        <v>222</v>
      </c>
      <c r="B6" s="12">
        <v>223015611</v>
      </c>
      <c r="C6" s="12" t="s">
        <v>32</v>
      </c>
      <c r="D6" s="12" t="s">
        <v>93</v>
      </c>
      <c r="E6" s="12" t="s">
        <v>233</v>
      </c>
      <c r="F6" s="12" t="s">
        <v>231</v>
      </c>
      <c r="G6" s="13">
        <v>46254</v>
      </c>
      <c r="H6" s="23">
        <v>1</v>
      </c>
      <c r="I6" s="30" t="s">
        <v>242</v>
      </c>
      <c r="J6" s="12" t="s">
        <v>196</v>
      </c>
      <c r="K6" s="13">
        <v>46259</v>
      </c>
      <c r="L6" s="17" t="s">
        <v>236</v>
      </c>
    </row>
    <row r="7" spans="1:12" ht="71.25">
      <c r="A7" s="16" t="s">
        <v>223</v>
      </c>
      <c r="B7" s="12">
        <v>224120975</v>
      </c>
      <c r="C7" s="12" t="s">
        <v>174</v>
      </c>
      <c r="D7" s="12" t="s">
        <v>229</v>
      </c>
      <c r="E7" s="12" t="s">
        <v>230</v>
      </c>
      <c r="F7" s="12" t="s">
        <v>231</v>
      </c>
      <c r="G7" s="13">
        <v>46256</v>
      </c>
      <c r="H7" s="23">
        <v>12</v>
      </c>
      <c r="I7" s="12" t="s">
        <v>237</v>
      </c>
      <c r="J7" s="12" t="s">
        <v>196</v>
      </c>
      <c r="K7" s="13">
        <v>46259</v>
      </c>
      <c r="L7" s="17" t="s">
        <v>236</v>
      </c>
    </row>
    <row r="8" spans="1:12" ht="42.75">
      <c r="A8" s="16" t="s">
        <v>225</v>
      </c>
      <c r="B8" s="12">
        <v>223032277</v>
      </c>
      <c r="C8" s="12" t="s">
        <v>32</v>
      </c>
      <c r="D8" s="12" t="s">
        <v>93</v>
      </c>
      <c r="E8" s="12" t="s">
        <v>234</v>
      </c>
      <c r="F8" s="12" t="s">
        <v>231</v>
      </c>
      <c r="G8" s="13">
        <v>46254</v>
      </c>
      <c r="H8" s="23">
        <v>2</v>
      </c>
      <c r="I8" s="30" t="s">
        <v>242</v>
      </c>
      <c r="J8" s="12" t="s">
        <v>196</v>
      </c>
      <c r="K8" s="13">
        <v>46259</v>
      </c>
      <c r="L8" s="17" t="s">
        <v>236</v>
      </c>
    </row>
    <row r="9" spans="1:12">
      <c r="A9" s="16" t="s">
        <v>228</v>
      </c>
      <c r="B9" s="12">
        <v>222057458</v>
      </c>
      <c r="C9" s="12" t="s">
        <v>32</v>
      </c>
      <c r="D9" s="12" t="s">
        <v>93</v>
      </c>
      <c r="E9" s="12" t="s">
        <v>235</v>
      </c>
      <c r="F9" s="12" t="s">
        <v>231</v>
      </c>
      <c r="G9" s="13">
        <v>46259</v>
      </c>
      <c r="H9" s="23">
        <v>5</v>
      </c>
      <c r="I9" s="12" t="s">
        <v>237</v>
      </c>
      <c r="J9" s="12" t="s">
        <v>196</v>
      </c>
      <c r="K9" s="13">
        <v>46259</v>
      </c>
      <c r="L9" s="17" t="s">
        <v>236</v>
      </c>
    </row>
    <row r="10" spans="1:12">
      <c r="A10" s="16"/>
      <c r="B10" s="12"/>
      <c r="C10" s="12"/>
      <c r="D10" s="12"/>
      <c r="E10" s="12"/>
      <c r="F10" s="12"/>
      <c r="G10" s="13"/>
      <c r="H10" s="23"/>
      <c r="I10" s="12"/>
      <c r="J10" s="12"/>
      <c r="K10" s="13"/>
      <c r="L10" s="17"/>
    </row>
    <row r="11" spans="1:12">
      <c r="A11" s="16"/>
      <c r="B11" s="12"/>
      <c r="C11" s="12"/>
      <c r="D11" s="12"/>
      <c r="E11" s="12"/>
      <c r="F11" s="12"/>
      <c r="G11" s="13"/>
      <c r="H11" s="23"/>
      <c r="I11" s="12"/>
      <c r="J11" s="12"/>
      <c r="K11" s="13"/>
      <c r="L11" s="17"/>
    </row>
    <row r="12" spans="1:12">
      <c r="A12" s="16"/>
      <c r="B12" s="12"/>
      <c r="C12" s="12"/>
      <c r="D12" s="12"/>
      <c r="E12" s="12"/>
      <c r="F12" s="12"/>
      <c r="G12" s="13"/>
      <c r="H12" s="23"/>
      <c r="I12" s="12"/>
      <c r="J12" s="12"/>
      <c r="K12" s="13"/>
      <c r="L12" s="17"/>
    </row>
    <row r="13" spans="1:12">
      <c r="A13" s="16"/>
      <c r="B13" s="12"/>
      <c r="C13" s="12"/>
      <c r="D13" s="12"/>
      <c r="E13" s="12"/>
      <c r="F13" s="12"/>
      <c r="G13" s="13"/>
      <c r="H13" s="23"/>
      <c r="I13" s="12"/>
      <c r="J13" s="12"/>
      <c r="K13" s="13"/>
      <c r="L13" s="17"/>
    </row>
    <row r="14" spans="1:12">
      <c r="A14" s="16"/>
      <c r="B14" s="12"/>
      <c r="C14" s="12"/>
      <c r="D14" s="12"/>
      <c r="E14" s="12"/>
      <c r="F14" s="12"/>
      <c r="G14" s="13"/>
      <c r="H14" s="23"/>
      <c r="I14" s="12"/>
      <c r="J14" s="12"/>
      <c r="K14" s="13"/>
      <c r="L14" s="17"/>
    </row>
    <row r="15" spans="1:12">
      <c r="A15" s="16"/>
      <c r="B15" s="12"/>
      <c r="C15" s="12"/>
      <c r="D15" s="12"/>
      <c r="E15" s="12"/>
      <c r="F15" s="12"/>
      <c r="G15" s="13"/>
      <c r="H15" s="23"/>
      <c r="I15" s="12"/>
      <c r="J15" s="12"/>
      <c r="K15" s="13"/>
      <c r="L15" s="17"/>
    </row>
    <row r="16" spans="1:12">
      <c r="A16" s="16"/>
      <c r="B16" s="12"/>
      <c r="C16" s="12"/>
      <c r="D16" s="12"/>
      <c r="E16" s="12"/>
      <c r="F16" s="12"/>
      <c r="G16" s="13"/>
      <c r="H16" s="23"/>
      <c r="I16" s="12"/>
      <c r="J16" s="12"/>
      <c r="K16" s="13"/>
      <c r="L16" s="17"/>
    </row>
    <row r="17" spans="1:12">
      <c r="A17" s="16"/>
      <c r="B17" s="12"/>
      <c r="C17" s="12"/>
      <c r="D17" s="12"/>
      <c r="E17" s="12"/>
      <c r="F17" s="12"/>
      <c r="G17" s="13"/>
      <c r="H17" s="23"/>
      <c r="I17" s="12"/>
      <c r="J17" s="12"/>
      <c r="K17" s="13"/>
      <c r="L17" s="17"/>
    </row>
    <row r="18" spans="1:12">
      <c r="A18" s="16"/>
      <c r="B18" s="12"/>
      <c r="C18" s="12"/>
      <c r="D18" s="12"/>
      <c r="E18" s="12"/>
      <c r="F18" s="12"/>
      <c r="G18" s="13"/>
      <c r="H18" s="23"/>
      <c r="I18" s="12"/>
      <c r="J18" s="12"/>
      <c r="K18" s="13"/>
      <c r="L18" s="17"/>
    </row>
    <row r="19" spans="1:12">
      <c r="A19" s="16"/>
      <c r="B19" s="12"/>
      <c r="C19" s="12"/>
      <c r="D19" s="12"/>
      <c r="E19" s="12"/>
      <c r="F19" s="12"/>
      <c r="G19" s="13"/>
      <c r="H19" s="23"/>
      <c r="I19" s="12"/>
      <c r="J19" s="12"/>
      <c r="K19" s="13"/>
      <c r="L19" s="17"/>
    </row>
    <row r="20" spans="1:12">
      <c r="A20" s="16"/>
      <c r="B20" s="12"/>
      <c r="C20" s="12"/>
      <c r="D20" s="12"/>
      <c r="E20" s="12"/>
      <c r="F20" s="12"/>
      <c r="G20" s="13"/>
      <c r="H20" s="23"/>
      <c r="I20" s="12"/>
      <c r="J20" s="12"/>
      <c r="K20" s="13"/>
      <c r="L20" s="17"/>
    </row>
    <row r="21" spans="1:12">
      <c r="A21" s="16"/>
      <c r="B21" s="12"/>
      <c r="C21" s="12"/>
      <c r="D21" s="12"/>
      <c r="E21" s="12"/>
      <c r="F21" s="12"/>
      <c r="G21" s="13"/>
      <c r="H21" s="23"/>
      <c r="I21" s="12"/>
      <c r="J21" s="12"/>
      <c r="K21" s="13"/>
      <c r="L21" s="17"/>
    </row>
    <row r="22" spans="1:12">
      <c r="A22" s="16"/>
      <c r="B22" s="12"/>
      <c r="C22" s="12"/>
      <c r="D22" s="12"/>
      <c r="E22" s="12"/>
      <c r="F22" s="12"/>
      <c r="G22" s="13"/>
      <c r="H22" s="23"/>
      <c r="I22" s="12"/>
      <c r="J22" s="12"/>
      <c r="K22" s="13"/>
      <c r="L22" s="17"/>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6"/>
      <c r="B195" s="12"/>
      <c r="C195" s="12"/>
      <c r="D195" s="12"/>
      <c r="E195" s="12"/>
      <c r="F195" s="12"/>
      <c r="G195" s="13"/>
      <c r="H195" s="23"/>
      <c r="I195" s="12"/>
      <c r="J195" s="12"/>
      <c r="K195" s="13"/>
      <c r="L195" s="17"/>
    </row>
    <row r="196" spans="1:12">
      <c r="A196" s="16"/>
      <c r="B196" s="12"/>
      <c r="C196" s="12"/>
      <c r="D196" s="12"/>
      <c r="E196" s="12"/>
      <c r="F196" s="12"/>
      <c r="G196" s="13"/>
      <c r="H196" s="23"/>
      <c r="I196" s="12"/>
      <c r="J196" s="12"/>
      <c r="K196" s="13"/>
      <c r="L196" s="17"/>
    </row>
    <row r="197" spans="1:12">
      <c r="A197" s="16"/>
      <c r="B197" s="12"/>
      <c r="C197" s="12"/>
      <c r="D197" s="12"/>
      <c r="E197" s="12"/>
      <c r="F197" s="12"/>
      <c r="G197" s="13"/>
      <c r="H197" s="23"/>
      <c r="I197" s="12"/>
      <c r="J197" s="12"/>
      <c r="K197" s="13"/>
      <c r="L197" s="17"/>
    </row>
    <row r="198" spans="1:12">
      <c r="A198" s="16"/>
      <c r="B198" s="12"/>
      <c r="C198" s="12"/>
      <c r="D198" s="12"/>
      <c r="E198" s="12"/>
      <c r="F198" s="12"/>
      <c r="G198" s="13"/>
      <c r="H198" s="23"/>
      <c r="I198" s="12"/>
      <c r="J198" s="12"/>
      <c r="K198" s="13"/>
      <c r="L198" s="17"/>
    </row>
    <row r="199" spans="1:12">
      <c r="A199" s="16"/>
      <c r="B199" s="12"/>
      <c r="C199" s="12"/>
      <c r="D199" s="12"/>
      <c r="E199" s="12"/>
      <c r="F199" s="12"/>
      <c r="G199" s="13"/>
      <c r="H199" s="23"/>
      <c r="I199" s="12"/>
      <c r="J199" s="12"/>
      <c r="K199" s="13"/>
      <c r="L199" s="17"/>
    </row>
    <row r="200" spans="1:12">
      <c r="A200" s="16"/>
      <c r="B200" s="12"/>
      <c r="C200" s="12"/>
      <c r="D200" s="12"/>
      <c r="E200" s="12"/>
      <c r="F200" s="12"/>
      <c r="G200" s="13"/>
      <c r="H200" s="23"/>
      <c r="I200" s="12"/>
      <c r="J200" s="12"/>
      <c r="K200" s="13"/>
      <c r="L200" s="17"/>
    </row>
    <row r="201" spans="1:12">
      <c r="A201" s="18"/>
      <c r="B201" s="19"/>
      <c r="C201" s="19"/>
      <c r="D201" s="19"/>
      <c r="E201" s="19"/>
      <c r="F201" s="19"/>
      <c r="G201" s="20"/>
      <c r="H201" s="24"/>
      <c r="I201" s="19"/>
      <c r="J201" s="19"/>
      <c r="K201" s="20"/>
      <c r="L201" s="22"/>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C3:C201" xr:uid="{00000000-0002-0000-0300-000000000000}">
      <formula1>"Unit 1 / Phase 1,Phase 2,Phase 3,Final"</formula1>
    </dataValidation>
    <dataValidation type="list" sqref="J3:J201" xr:uid="{00000000-0002-0000-0300-000001000000}">
      <formula1>"Yes,No"</formula1>
    </dataValidation>
  </dataValidations>
  <hyperlinks>
    <hyperlink ref="I8" r:id="rId1" xr:uid="{58C8F47E-6F08-4A04-887C-6AD4C37AA954}"/>
    <hyperlink ref="I6" r:id="rId2" xr:uid="{3775E31D-CD82-4595-B5EB-E6665F56A690}"/>
  </hyperlinks>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opLeftCell="C1" zoomScale="75" workbookViewId="0">
      <selection activeCell="E4" sqref="E4"/>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20.100000000000001" customHeight="1">
      <c r="A1" s="31" t="s">
        <v>114</v>
      </c>
      <c r="B1" s="31"/>
      <c r="C1" s="31"/>
      <c r="D1" s="31"/>
      <c r="E1" s="31"/>
      <c r="F1" s="31"/>
      <c r="G1" s="31"/>
      <c r="H1" s="31"/>
      <c r="I1" s="31"/>
    </row>
    <row r="2" spans="1:9" ht="30">
      <c r="A2" s="1" t="s">
        <v>115</v>
      </c>
      <c r="B2" s="15" t="s">
        <v>69</v>
      </c>
      <c r="C2" s="15" t="s">
        <v>116</v>
      </c>
      <c r="D2" s="15" t="s">
        <v>3</v>
      </c>
      <c r="E2" s="15" t="s">
        <v>117</v>
      </c>
      <c r="F2" s="15" t="s">
        <v>118</v>
      </c>
      <c r="G2" s="15" t="s">
        <v>119</v>
      </c>
      <c r="H2" s="15" t="s">
        <v>120</v>
      </c>
      <c r="I2" s="2" t="s">
        <v>76</v>
      </c>
    </row>
    <row r="3" spans="1:9" ht="114">
      <c r="A3" s="25">
        <v>46262</v>
      </c>
      <c r="B3" s="12" t="s">
        <v>32</v>
      </c>
      <c r="C3" s="12" t="s">
        <v>247</v>
      </c>
      <c r="D3" s="12" t="s">
        <v>239</v>
      </c>
      <c r="E3" s="12" t="s">
        <v>248</v>
      </c>
      <c r="F3" s="12" t="s">
        <v>240</v>
      </c>
      <c r="G3" s="12" t="s">
        <v>244</v>
      </c>
      <c r="H3" s="12" t="s">
        <v>241</v>
      </c>
      <c r="I3" s="17" t="s">
        <v>243</v>
      </c>
    </row>
    <row r="4" spans="1:9" ht="142.5">
      <c r="A4" s="25"/>
      <c r="B4" s="12"/>
      <c r="C4" s="12"/>
      <c r="D4" s="12"/>
      <c r="E4" s="12"/>
      <c r="F4" s="12"/>
      <c r="G4" s="12" t="s">
        <v>245</v>
      </c>
      <c r="H4" s="12"/>
      <c r="I4" s="17"/>
    </row>
    <row r="5" spans="1:9" ht="71.25">
      <c r="A5" s="25"/>
      <c r="B5" s="12"/>
      <c r="C5" s="12"/>
      <c r="D5" s="12"/>
      <c r="E5" s="12"/>
      <c r="F5" s="12"/>
      <c r="G5" s="12" t="s">
        <v>246</v>
      </c>
      <c r="H5" s="12"/>
      <c r="I5" s="17"/>
    </row>
    <row r="6" spans="1:9">
      <c r="A6" s="25"/>
      <c r="B6" s="12"/>
      <c r="C6" s="12"/>
      <c r="D6" s="12"/>
      <c r="E6" s="12"/>
      <c r="F6" s="12"/>
      <c r="G6" s="12"/>
      <c r="H6" s="12"/>
      <c r="I6" s="17"/>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workbookViewId="0">
      <selection activeCell="G4" sqref="G4"/>
    </sheetView>
  </sheetViews>
  <sheetFormatPr defaultRowHeight="14.25"/>
  <cols>
    <col min="1" max="1" width="15" customWidth="1"/>
    <col min="2" max="2" width="19" customWidth="1"/>
    <col min="3" max="4" width="34" customWidth="1"/>
    <col min="5" max="5" width="38" customWidth="1"/>
    <col min="6" max="6" width="24" customWidth="1"/>
    <col min="7" max="8" width="14" customWidth="1"/>
  </cols>
  <sheetData>
    <row r="1" spans="1:8" ht="20.100000000000001" customHeight="1">
      <c r="A1" s="31" t="s">
        <v>121</v>
      </c>
      <c r="B1" s="31"/>
      <c r="C1" s="31"/>
      <c r="D1" s="31"/>
      <c r="E1" s="31"/>
      <c r="F1" s="31"/>
      <c r="G1" s="31"/>
      <c r="H1" s="31"/>
    </row>
    <row r="2" spans="1:8" ht="15">
      <c r="A2" s="1" t="s">
        <v>122</v>
      </c>
      <c r="B2" s="15" t="s">
        <v>69</v>
      </c>
      <c r="C2" s="15" t="s">
        <v>123</v>
      </c>
      <c r="D2" s="15" t="s">
        <v>124</v>
      </c>
      <c r="E2" s="15" t="s">
        <v>125</v>
      </c>
      <c r="F2" s="15" t="s">
        <v>126</v>
      </c>
      <c r="G2" s="15" t="s">
        <v>127</v>
      </c>
      <c r="H2" s="2" t="s">
        <v>74</v>
      </c>
    </row>
    <row r="3" spans="1:8">
      <c r="A3" s="25">
        <v>46257</v>
      </c>
      <c r="B3" s="12" t="s">
        <v>32</v>
      </c>
      <c r="C3" s="12" t="s">
        <v>204</v>
      </c>
      <c r="D3" s="12" t="s">
        <v>209</v>
      </c>
      <c r="E3" s="12" t="s">
        <v>207</v>
      </c>
      <c r="F3" s="12" t="s">
        <v>217</v>
      </c>
      <c r="G3" s="13">
        <v>46259</v>
      </c>
      <c r="H3" s="17" t="s">
        <v>208</v>
      </c>
    </row>
    <row r="4" spans="1:8" ht="28.5">
      <c r="A4" s="25">
        <v>46257</v>
      </c>
      <c r="B4" s="12" t="s">
        <v>32</v>
      </c>
      <c r="C4" s="12" t="s">
        <v>205</v>
      </c>
      <c r="D4" s="12" t="s">
        <v>210</v>
      </c>
      <c r="E4" s="12" t="s">
        <v>206</v>
      </c>
      <c r="F4" s="12" t="s">
        <v>238</v>
      </c>
      <c r="G4" s="13">
        <v>46259</v>
      </c>
      <c r="H4" s="17" t="s">
        <v>208</v>
      </c>
    </row>
    <row r="5" spans="1:8">
      <c r="A5" s="25"/>
      <c r="B5" s="12"/>
      <c r="C5" s="12"/>
      <c r="D5" s="12"/>
      <c r="E5" s="12"/>
      <c r="F5" s="12"/>
      <c r="G5" s="13"/>
      <c r="H5" s="17"/>
    </row>
    <row r="6" spans="1:8">
      <c r="A6" s="25"/>
      <c r="B6" s="12"/>
      <c r="C6" s="12"/>
      <c r="D6" s="12"/>
      <c r="E6" s="12"/>
      <c r="F6" s="12"/>
      <c r="G6" s="13"/>
      <c r="H6" s="17"/>
    </row>
    <row r="7" spans="1:8">
      <c r="A7" s="25"/>
      <c r="B7" s="12"/>
      <c r="C7" s="12"/>
      <c r="D7" s="12"/>
      <c r="E7" s="12"/>
      <c r="F7" s="12"/>
      <c r="G7" s="13"/>
      <c r="H7" s="17"/>
    </row>
    <row r="8" spans="1:8">
      <c r="A8" s="25"/>
      <c r="B8" s="12"/>
      <c r="C8" s="12"/>
      <c r="D8" s="12"/>
      <c r="E8" s="12"/>
      <c r="F8" s="12"/>
      <c r="G8" s="13"/>
      <c r="H8" s="17"/>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5"/>
      <c r="B100" s="12"/>
      <c r="C100" s="12"/>
      <c r="D100" s="12"/>
      <c r="E100" s="12"/>
      <c r="F100" s="12"/>
      <c r="G100" s="13"/>
      <c r="H100" s="17"/>
    </row>
    <row r="101" spans="1:8">
      <c r="A101" s="26"/>
      <c r="B101" s="19"/>
      <c r="C101" s="19"/>
      <c r="D101" s="19"/>
      <c r="E101" s="19"/>
      <c r="F101" s="19"/>
      <c r="G101" s="20"/>
      <c r="H101" s="22"/>
    </row>
  </sheetData>
  <mergeCells count="1">
    <mergeCell ref="A1:H1"/>
  </mergeCells>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zoomScale="76" workbookViewId="0">
      <selection activeCell="E7" sqref="E7"/>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20.100000000000001" customHeight="1">
      <c r="A1" s="31" t="s">
        <v>128</v>
      </c>
      <c r="B1" s="31"/>
      <c r="C1" s="31"/>
      <c r="D1" s="31"/>
      <c r="E1" s="31"/>
      <c r="F1" s="31"/>
    </row>
    <row r="3" spans="1:6" ht="15">
      <c r="A3" s="1" t="s">
        <v>129</v>
      </c>
      <c r="B3" s="2" t="s">
        <v>42</v>
      </c>
      <c r="D3" s="36" t="s">
        <v>130</v>
      </c>
      <c r="E3" s="37"/>
      <c r="F3" s="38"/>
    </row>
    <row r="4" spans="1:6" ht="15">
      <c r="A4" s="3" t="s">
        <v>53</v>
      </c>
      <c r="B4" s="7" t="s">
        <v>32</v>
      </c>
      <c r="D4" s="3" t="s">
        <v>131</v>
      </c>
      <c r="E4" s="27" t="s">
        <v>196</v>
      </c>
    </row>
    <row r="5" spans="1:6" ht="15">
      <c r="A5" s="3" t="s">
        <v>55</v>
      </c>
      <c r="B5" s="29">
        <v>46257</v>
      </c>
      <c r="D5" s="3" t="s">
        <v>132</v>
      </c>
      <c r="E5" s="27" t="s">
        <v>196</v>
      </c>
    </row>
    <row r="6" spans="1:6" ht="15">
      <c r="A6" s="3" t="s">
        <v>133</v>
      </c>
      <c r="B6" s="7" t="s">
        <v>48</v>
      </c>
      <c r="D6" s="3" t="s">
        <v>134</v>
      </c>
      <c r="E6" s="27" t="s">
        <v>196</v>
      </c>
    </row>
    <row r="7" spans="1:6" ht="39.950000000000003" customHeight="1">
      <c r="A7" s="3" t="s">
        <v>135</v>
      </c>
      <c r="B7" s="7" t="s">
        <v>198</v>
      </c>
      <c r="D7" s="3" t="s">
        <v>136</v>
      </c>
      <c r="E7" s="27" t="s">
        <v>196</v>
      </c>
    </row>
    <row r="8" spans="1:6" ht="39.950000000000003" customHeight="1">
      <c r="A8" s="3" t="s">
        <v>137</v>
      </c>
      <c r="B8" s="7" t="s">
        <v>197</v>
      </c>
      <c r="D8" s="3" t="s">
        <v>138</v>
      </c>
      <c r="E8" s="27" t="s">
        <v>196</v>
      </c>
    </row>
    <row r="9" spans="1:6" ht="39.950000000000003" customHeight="1">
      <c r="A9" s="3" t="s">
        <v>139</v>
      </c>
      <c r="B9" s="7" t="s">
        <v>199</v>
      </c>
      <c r="D9" s="3" t="s">
        <v>140</v>
      </c>
      <c r="E9" s="27" t="s">
        <v>196</v>
      </c>
    </row>
    <row r="10" spans="1:6" ht="39.950000000000003" customHeight="1">
      <c r="A10" s="3" t="s">
        <v>141</v>
      </c>
      <c r="B10" s="7" t="s">
        <v>200</v>
      </c>
      <c r="D10" s="3" t="s">
        <v>142</v>
      </c>
      <c r="E10" s="27" t="s">
        <v>196</v>
      </c>
    </row>
    <row r="11" spans="1:6" ht="39.950000000000003" customHeight="1">
      <c r="A11" s="3" t="s">
        <v>143</v>
      </c>
      <c r="B11" s="7" t="s">
        <v>201</v>
      </c>
      <c r="D11" s="3" t="s">
        <v>144</v>
      </c>
      <c r="E11" s="27" t="s">
        <v>196</v>
      </c>
    </row>
    <row r="12" spans="1:6" ht="39.950000000000003" customHeight="1">
      <c r="A12" s="3" t="s">
        <v>145</v>
      </c>
      <c r="B12" s="7" t="s">
        <v>202</v>
      </c>
      <c r="D12" s="5" t="s">
        <v>146</v>
      </c>
      <c r="E12" s="28" t="s">
        <v>196</v>
      </c>
    </row>
    <row r="13" spans="1:6" ht="39.950000000000003" customHeight="1">
      <c r="A13" s="5" t="s">
        <v>147</v>
      </c>
      <c r="B13" s="9" t="s">
        <v>203</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8" workbookViewId="0">
      <selection activeCell="B9" sqref="B9"/>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20.100000000000001" customHeight="1">
      <c r="A1" s="31" t="s">
        <v>29</v>
      </c>
      <c r="B1" s="31"/>
      <c r="C1" s="31"/>
      <c r="D1" s="31"/>
      <c r="E1" s="31"/>
      <c r="F1" s="31"/>
    </row>
    <row r="3" spans="1:6" ht="15">
      <c r="A3" s="1" t="s">
        <v>148</v>
      </c>
      <c r="B3" s="2" t="s">
        <v>42</v>
      </c>
      <c r="D3" s="36" t="s">
        <v>149</v>
      </c>
      <c r="E3" s="37"/>
      <c r="F3" s="38"/>
    </row>
    <row r="4" spans="1:6" ht="27.95" customHeight="1">
      <c r="A4" s="3" t="s">
        <v>53</v>
      </c>
      <c r="B4" s="7" t="s">
        <v>32</v>
      </c>
      <c r="D4" s="3" t="s">
        <v>150</v>
      </c>
      <c r="E4" s="4" t="s">
        <v>151</v>
      </c>
    </row>
    <row r="5" spans="1:6" ht="27.95" customHeight="1">
      <c r="A5" s="3" t="s">
        <v>47</v>
      </c>
      <c r="B5" s="7" t="s">
        <v>184</v>
      </c>
      <c r="D5" s="3" t="s">
        <v>152</v>
      </c>
      <c r="E5" s="4" t="s">
        <v>153</v>
      </c>
    </row>
    <row r="6" spans="1:6" ht="27.95" customHeight="1">
      <c r="A6" s="3" t="s">
        <v>154</v>
      </c>
      <c r="B6" s="7" t="s">
        <v>186</v>
      </c>
      <c r="D6" s="3" t="s">
        <v>155</v>
      </c>
      <c r="E6" s="4" t="s">
        <v>156</v>
      </c>
    </row>
    <row r="7" spans="1:6" ht="27.95" customHeight="1">
      <c r="A7" s="3" t="s">
        <v>157</v>
      </c>
      <c r="B7" s="7" t="s">
        <v>187</v>
      </c>
      <c r="D7" s="3" t="s">
        <v>158</v>
      </c>
      <c r="E7" s="4" t="s">
        <v>159</v>
      </c>
    </row>
    <row r="8" spans="1:6" ht="27.95" customHeight="1">
      <c r="A8" s="3" t="s">
        <v>160</v>
      </c>
      <c r="B8" s="7" t="s">
        <v>188</v>
      </c>
      <c r="D8" s="5" t="s">
        <v>161</v>
      </c>
      <c r="E8" s="6" t="s">
        <v>162</v>
      </c>
    </row>
    <row r="9" spans="1:6" ht="49.35" customHeight="1">
      <c r="A9" s="3" t="s">
        <v>163</v>
      </c>
      <c r="B9" s="7" t="s">
        <v>189</v>
      </c>
    </row>
    <row r="10" spans="1:6" ht="49.35" customHeight="1">
      <c r="A10" s="3" t="s">
        <v>164</v>
      </c>
      <c r="B10" s="7" t="s">
        <v>190</v>
      </c>
    </row>
    <row r="11" spans="1:6" ht="49.35" customHeight="1">
      <c r="A11" s="3" t="s">
        <v>165</v>
      </c>
      <c r="B11" s="7" t="s">
        <v>191</v>
      </c>
    </row>
    <row r="12" spans="1:6" ht="49.35" customHeight="1">
      <c r="A12" s="3" t="s">
        <v>166</v>
      </c>
      <c r="B12" s="7" t="s">
        <v>192</v>
      </c>
    </row>
    <row r="13" spans="1:6" ht="49.35" customHeight="1">
      <c r="A13" s="3" t="s">
        <v>167</v>
      </c>
      <c r="B13" s="7" t="s">
        <v>193</v>
      </c>
    </row>
    <row r="14" spans="1:6" ht="49.35" customHeight="1">
      <c r="A14" s="3" t="s">
        <v>168</v>
      </c>
      <c r="B14" s="7" t="s">
        <v>194</v>
      </c>
    </row>
    <row r="15" spans="1:6" ht="49.35" customHeight="1">
      <c r="A15" s="5" t="s">
        <v>169</v>
      </c>
      <c r="B15" s="9" t="s">
        <v>195</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phumla mongwe</dc:creator>
  <cp:lastModifiedBy>Michell Kgatuke</cp:lastModifiedBy>
  <dcterms:created xsi:type="dcterms:W3CDTF">2026-08-23T21:00:36Z</dcterms:created>
  <dcterms:modified xsi:type="dcterms:W3CDTF">2026-08-31T17:18:07Z</dcterms:modified>
</cp:coreProperties>
</file>